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3/github/brevitest-device/"/>
    </mc:Choice>
  </mc:AlternateContent>
  <xr:revisionPtr revIDLastSave="0" documentId="13_ncr:1_{5F42FA5E-0852-B841-BB39-93DCB5CCBE65}" xr6:coauthVersionLast="43" xr6:coauthVersionMax="43" xr10:uidLastSave="{00000000-0000-0000-0000-000000000000}"/>
  <bookViews>
    <workbookView xWindow="0" yWindow="0" windowWidth="51200" windowHeight="28800" activeTab="2" xr2:uid="{819A57A9-3311-0240-9B70-46ABF187F603}"/>
  </bookViews>
  <sheets>
    <sheet name="Peltier" sheetId="1" r:id="rId1"/>
    <sheet name="LED" sheetId="2" r:id="rId2"/>
    <sheet name="B57861S0103F045‎" sheetId="3" r:id="rId3"/>
  </sheets>
  <definedNames>
    <definedName name="_xlchart.v1.0" hidden="1">B57861S0103F045‎!$A$11:$A$31</definedName>
    <definedName name="_xlchart.v1.1" hidden="1">B57861S0103F045‎!$E$11:$E$31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1" i="3" l="1"/>
  <c r="B31" i="3"/>
  <c r="C31" i="3" s="1"/>
  <c r="B30" i="3"/>
  <c r="C30" i="3" s="1"/>
  <c r="B29" i="3"/>
  <c r="C29" i="3" s="1"/>
  <c r="B28" i="3"/>
  <c r="C28" i="3" s="1"/>
  <c r="B27" i="3"/>
  <c r="C27" i="3" s="1"/>
  <c r="B26" i="3"/>
  <c r="C26" i="3" s="1"/>
  <c r="B25" i="3"/>
  <c r="C25" i="3" s="1"/>
  <c r="B24" i="3"/>
  <c r="C24" i="3" s="1"/>
  <c r="B23" i="3"/>
  <c r="C23" i="3" s="1"/>
  <c r="B22" i="3"/>
  <c r="C22" i="3" s="1"/>
  <c r="B21" i="3"/>
  <c r="C21" i="3" s="1"/>
  <c r="B20" i="3"/>
  <c r="C20" i="3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B13" i="3"/>
  <c r="C13" i="3" s="1"/>
  <c r="B12" i="3"/>
  <c r="C12" i="3" s="1"/>
  <c r="B11" i="3"/>
  <c r="C11" i="3" s="1"/>
  <c r="B6" i="3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D18" i="3" l="1"/>
  <c r="D19" i="3"/>
  <c r="D23" i="3"/>
  <c r="D28" i="3"/>
  <c r="D17" i="3"/>
  <c r="D20" i="3"/>
  <c r="D24" i="3"/>
  <c r="D29" i="3"/>
  <c r="D16" i="3"/>
  <c r="D21" i="3"/>
  <c r="D26" i="3"/>
  <c r="D12" i="3"/>
  <c r="D14" i="3"/>
  <c r="D30" i="3"/>
  <c r="D22" i="3"/>
  <c r="D25" i="3"/>
  <c r="D27" i="3"/>
  <c r="D13" i="3"/>
  <c r="D15" i="3"/>
  <c r="D31" i="3"/>
  <c r="D23" i="2"/>
  <c r="D17" i="2"/>
  <c r="D28" i="2"/>
  <c r="D19" i="2"/>
  <c r="D21" i="2"/>
  <c r="D25" i="2"/>
  <c r="D27" i="2"/>
  <c r="D29" i="2"/>
  <c r="D18" i="2"/>
  <c r="D20" i="2"/>
  <c r="D11" i="2"/>
  <c r="D12" i="2"/>
  <c r="D30" i="2"/>
  <c r="D22" i="2"/>
  <c r="D26" i="2"/>
  <c r="D13" i="2"/>
  <c r="D14" i="2"/>
  <c r="D15" i="2"/>
  <c r="D16" i="2"/>
  <c r="D31" i="2"/>
  <c r="D24" i="2"/>
  <c r="E30" i="3" l="1"/>
  <c r="E29" i="3"/>
  <c r="E22" i="3"/>
  <c r="E12" i="3"/>
  <c r="E31" i="3"/>
  <c r="E28" i="3"/>
  <c r="E13" i="3"/>
  <c r="E27" i="3"/>
  <c r="E19" i="3"/>
  <c r="E24" i="3"/>
  <c r="E14" i="3"/>
  <c r="E17" i="3"/>
  <c r="E15" i="3"/>
  <c r="E23" i="3"/>
  <c r="E16" i="3"/>
  <c r="E20" i="3"/>
  <c r="E11" i="3"/>
  <c r="E26" i="3"/>
  <c r="E21" i="3"/>
  <c r="E25" i="3"/>
  <c r="E18" i="3"/>
  <c r="B6" i="2"/>
  <c r="E26" i="2" s="1"/>
  <c r="H10" i="1"/>
  <c r="I10" i="1"/>
  <c r="J10" i="1"/>
  <c r="K10" i="1"/>
  <c r="C9" i="1"/>
  <c r="C10" i="1" s="1"/>
  <c r="D9" i="1"/>
  <c r="D10" i="1" s="1"/>
  <c r="E9" i="1"/>
  <c r="E10" i="1" s="1"/>
  <c r="F9" i="1"/>
  <c r="F10" i="1" s="1"/>
  <c r="G9" i="1"/>
  <c r="G11" i="1" s="1"/>
  <c r="G13" i="1" s="1"/>
  <c r="H9" i="1"/>
  <c r="I9" i="1"/>
  <c r="I11" i="1" s="1"/>
  <c r="I12" i="1" s="1"/>
  <c r="J9" i="1"/>
  <c r="J11" i="1" s="1"/>
  <c r="J12" i="1" s="1"/>
  <c r="K9" i="1"/>
  <c r="K11" i="1" s="1"/>
  <c r="K12" i="1" s="1"/>
  <c r="L9" i="1"/>
  <c r="L11" i="1" s="1"/>
  <c r="H11" i="1"/>
  <c r="H12" i="1" s="1"/>
  <c r="B9" i="1"/>
  <c r="B10" i="1" s="1"/>
  <c r="B6" i="1"/>
  <c r="E11" i="2" l="1"/>
  <c r="E15" i="2"/>
  <c r="E31" i="2"/>
  <c r="E16" i="2"/>
  <c r="E12" i="2"/>
  <c r="E18" i="2"/>
  <c r="E21" i="2"/>
  <c r="E24" i="2"/>
  <c r="E19" i="2"/>
  <c r="E23" i="2"/>
  <c r="E27" i="2"/>
  <c r="E25" i="2"/>
  <c r="E14" i="2"/>
  <c r="E22" i="2"/>
  <c r="E29" i="2"/>
  <c r="E13" i="2"/>
  <c r="E17" i="2"/>
  <c r="E30" i="2"/>
  <c r="E20" i="2"/>
  <c r="E28" i="2"/>
  <c r="B11" i="1"/>
  <c r="L10" i="1"/>
  <c r="L12" i="1" s="1"/>
  <c r="L13" i="1"/>
  <c r="G10" i="1"/>
  <c r="G12" i="1" s="1"/>
  <c r="E11" i="1"/>
  <c r="J13" i="1"/>
  <c r="K14" i="1" s="1"/>
  <c r="H13" i="1"/>
  <c r="H14" i="1" s="1"/>
  <c r="F11" i="1"/>
  <c r="D11" i="1"/>
  <c r="C11" i="1"/>
  <c r="K13" i="1"/>
  <c r="I13" i="1"/>
  <c r="B13" i="1" l="1"/>
  <c r="B12" i="1"/>
  <c r="E13" i="1"/>
  <c r="E12" i="1"/>
  <c r="I14" i="1"/>
  <c r="L14" i="1"/>
  <c r="C13" i="1"/>
  <c r="C14" i="1" s="1"/>
  <c r="C12" i="1"/>
  <c r="D13" i="1"/>
  <c r="D14" i="1" s="1"/>
  <c r="D12" i="1"/>
  <c r="F13" i="1"/>
  <c r="F14" i="1" s="1"/>
  <c r="F12" i="1"/>
  <c r="J14" i="1"/>
  <c r="G14" i="1" l="1"/>
  <c r="E14" i="1"/>
  <c r="M14" i="1" s="1"/>
</calcChain>
</file>

<file path=xl/sharedStrings.xml><?xml version="1.0" encoding="utf-8"?>
<sst xmlns="http://schemas.openxmlformats.org/spreadsheetml/2006/main" count="53" uniqueCount="21">
  <si>
    <t>R1</t>
  </si>
  <si>
    <t>R0</t>
  </si>
  <si>
    <t>Vin</t>
  </si>
  <si>
    <t>B</t>
  </si>
  <si>
    <t>T0</t>
  </si>
  <si>
    <t>˚C</t>
  </si>
  <si>
    <t>V</t>
  </si>
  <si>
    <t>Ω</t>
  </si>
  <si>
    <t>T</t>
  </si>
  <si>
    <t>Vout</t>
  </si>
  <si>
    <t>AnalogRead</t>
  </si>
  <si>
    <t>AR Constant</t>
  </si>
  <si>
    <t>AR Diff</t>
  </si>
  <si>
    <t>Mean</t>
  </si>
  <si>
    <t>R</t>
  </si>
  <si>
    <t>I</t>
  </si>
  <si>
    <t>P</t>
  </si>
  <si>
    <t>R (Ω)</t>
  </si>
  <si>
    <t>T (˚C)</t>
  </si>
  <si>
    <t>T(˚K)</t>
  </si>
  <si>
    <t>˚K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</si>
</sst>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Peltier!$B$8:$L$8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Peltier!$B$11:$L$11</c:f>
              <c:numCache>
                <c:formatCode>_(* #,##0.00_);_(* \(#,##0.00\);_(* "-"??_);_(@_)</c:formatCode>
                <c:ptCount val="11"/>
                <c:pt idx="0">
                  <c:v>0.42243820014174899</c:v>
                </c:pt>
                <c:pt idx="1">
                  <c:v>0.65150088257203809</c:v>
                </c:pt>
                <c:pt idx="2">
                  <c:v>0.93934045172092373</c:v>
                </c:pt>
                <c:pt idx="3">
                  <c:v>1.2674274687096811</c:v>
                </c:pt>
                <c:pt idx="4">
                  <c:v>1.6072655645969314</c:v>
                </c:pt>
                <c:pt idx="5">
                  <c:v>1.9299556637855155</c:v>
                </c:pt>
                <c:pt idx="6">
                  <c:v>2.2148213945983386</c:v>
                </c:pt>
                <c:pt idx="7">
                  <c:v>2.452505445258732</c:v>
                </c:pt>
                <c:pt idx="8">
                  <c:v>2.6429825479469127</c:v>
                </c:pt>
                <c:pt idx="9">
                  <c:v>2.791632517967138</c:v>
                </c:pt>
                <c:pt idx="10">
                  <c:v>2.9058376679903901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3-EF4B-B2E8-880184E91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9642736"/>
        <c:axId val="799522288"/>
      </c:scatterChart>
      <c:valAx>
        <c:axId val="79964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522288"/>
        <c:crosses val="autoZero"/>
        <c:crossBetween val="midCat"/>
      </c:valAx>
      <c:valAx>
        <c:axId val="7995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64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B57861S0103F045‎!$A$11:$A$31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B57861S0103F045‎!$E$11:$E$31</c:f>
              <c:numCache>
                <c:formatCode>_(* #,##0_);_(* \(#,##0\);_(* "-"??_);_(@_)</c:formatCode>
                <c:ptCount val="21"/>
                <c:pt idx="0">
                  <c:v>524.79430914450768</c:v>
                </c:pt>
                <c:pt idx="1">
                  <c:v>657.03743442537984</c:v>
                </c:pt>
                <c:pt idx="2">
                  <c:v>808.96471298761207</c:v>
                </c:pt>
                <c:pt idx="3">
                  <c:v>979.38702039694465</c:v>
                </c:pt>
                <c:pt idx="4">
                  <c:v>1165.9342945920318</c:v>
                </c:pt>
                <c:pt idx="5">
                  <c:v>1365.1512767517836</c:v>
                </c:pt>
                <c:pt idx="6">
                  <c:v>1572.7532918030631</c:v>
                </c:pt>
                <c:pt idx="7">
                  <c:v>1784.0047890843907</c:v>
                </c:pt>
                <c:pt idx="8">
                  <c:v>1994.1513693581542</c:v>
                </c:pt>
                <c:pt idx="9">
                  <c:v>2198.825003610857</c:v>
                </c:pt>
                <c:pt idx="10">
                  <c:v>2394.3555147198108</c:v>
                </c:pt>
                <c:pt idx="11">
                  <c:v>2577.9518248206468</c:v>
                </c:pt>
                <c:pt idx="12">
                  <c:v>2747.7508107117828</c:v>
                </c:pt>
                <c:pt idx="13">
                  <c:v>2902.758108599045</c:v>
                </c:pt>
                <c:pt idx="14">
                  <c:v>3042.7182658832708</c:v>
                </c:pt>
                <c:pt idx="15">
                  <c:v>3167.95208673664</c:v>
                </c:pt>
                <c:pt idx="16">
                  <c:v>3279.191404066044</c:v>
                </c:pt>
                <c:pt idx="17">
                  <c:v>3377.4309189587893</c:v>
                </c:pt>
                <c:pt idx="18">
                  <c:v>3463.8068616785267</c:v>
                </c:pt>
                <c:pt idx="19">
                  <c:v>3539.5048407457552</c:v>
                </c:pt>
                <c:pt idx="20">
                  <c:v>3605.694682038134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4D-A340-AB4C-ABEBAE973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661328"/>
        <c:axId val="1153662960"/>
      </c:scatterChart>
      <c:valAx>
        <c:axId val="11536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662960"/>
        <c:crosses val="autoZero"/>
        <c:crossBetween val="midCat"/>
      </c:valAx>
      <c:valAx>
        <c:axId val="115366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66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15</xdr:row>
      <xdr:rowOff>57150</xdr:rowOff>
    </xdr:from>
    <xdr:to>
      <xdr:col>11</xdr:col>
      <xdr:colOff>241300</xdr:colOff>
      <xdr:row>40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6C0B1-425B-1143-B349-D5CCA47E9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812800</xdr:colOff>
      <xdr:row>9</xdr:row>
      <xdr:rowOff>190500</xdr:rowOff>
    </xdr:from>
    <xdr:to>
      <xdr:col>11</xdr:col>
      <xdr:colOff>736600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A3E252-C4F7-174D-B896-DF7EB43D3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5185-0DB2-914C-8E47-18A7FEB7E8A6}">
  <dimension ref="A1:N14"/>
  <sheetViews>
    <sheetView workbookViewId="0">
      <selection activeCell="D4" sqref="D4"/>
    </sheetView>
  </sheetViews>
  <sheetFormatPr baseColWidth="10" defaultRowHeight="16" x14ac:dyDescent="0.2"/>
  <sheetData>
    <row r="1" spans="1:14" x14ac:dyDescent="0.2">
      <c r="A1" t="s">
        <v>0</v>
      </c>
      <c r="B1">
        <v>5000</v>
      </c>
      <c r="C1" t="s">
        <v>7</v>
      </c>
    </row>
    <row r="2" spans="1:14" x14ac:dyDescent="0.2">
      <c r="A2" t="s">
        <v>1</v>
      </c>
      <c r="B2">
        <v>10000</v>
      </c>
      <c r="C2" t="s">
        <v>7</v>
      </c>
    </row>
    <row r="3" spans="1:14" x14ac:dyDescent="0.2">
      <c r="A3" t="s">
        <v>2</v>
      </c>
      <c r="B3">
        <v>3.3</v>
      </c>
      <c r="C3" t="s">
        <v>6</v>
      </c>
    </row>
    <row r="4" spans="1:14" x14ac:dyDescent="0.2">
      <c r="A4" t="s">
        <v>3</v>
      </c>
      <c r="B4">
        <v>3988</v>
      </c>
    </row>
    <row r="5" spans="1:14" x14ac:dyDescent="0.2">
      <c r="A5" t="s">
        <v>4</v>
      </c>
      <c r="B5">
        <v>25</v>
      </c>
      <c r="C5" t="s">
        <v>5</v>
      </c>
    </row>
    <row r="6" spans="1:14" x14ac:dyDescent="0.2">
      <c r="A6" t="s">
        <v>11</v>
      </c>
      <c r="B6">
        <f>3.3/4096</f>
        <v>8.0566406249999996E-4</v>
      </c>
      <c r="C6" t="s">
        <v>6</v>
      </c>
    </row>
    <row r="8" spans="1:14" x14ac:dyDescent="0.2">
      <c r="A8" t="s">
        <v>8</v>
      </c>
      <c r="B8">
        <v>0</v>
      </c>
      <c r="C8">
        <v>10</v>
      </c>
      <c r="D8">
        <v>20</v>
      </c>
      <c r="E8">
        <v>30</v>
      </c>
      <c r="F8">
        <v>40</v>
      </c>
      <c r="G8">
        <v>50</v>
      </c>
      <c r="H8">
        <v>60</v>
      </c>
      <c r="I8">
        <v>70</v>
      </c>
      <c r="J8">
        <v>80</v>
      </c>
      <c r="K8">
        <v>90</v>
      </c>
      <c r="L8">
        <v>100</v>
      </c>
    </row>
    <row r="9" spans="1:14" x14ac:dyDescent="0.2">
      <c r="A9" t="s">
        <v>14</v>
      </c>
      <c r="B9" s="4">
        <f>($B$2*EXP($B$4*(1/(B8+273)-1/($B$5+273))))</f>
        <v>34058.967665479664</v>
      </c>
      <c r="C9" s="4">
        <f t="shared" ref="C9:L9" si="0">($B$2*EXP($B$4*(1/(C8+273)-1/($B$5+273))))</f>
        <v>20326.136067322295</v>
      </c>
      <c r="D9" s="4">
        <f t="shared" si="0"/>
        <v>12565.516283016543</v>
      </c>
      <c r="E9" s="4">
        <f t="shared" si="0"/>
        <v>8018.4964483987487</v>
      </c>
      <c r="F9" s="4">
        <f t="shared" si="0"/>
        <v>5265.8828531163444</v>
      </c>
      <c r="G9" s="4">
        <f t="shared" si="0"/>
        <v>3549.4191963125404</v>
      </c>
      <c r="H9" s="4">
        <f t="shared" si="0"/>
        <v>2449.8106439830121</v>
      </c>
      <c r="I9" s="4">
        <f t="shared" si="0"/>
        <v>1727.8138084864877</v>
      </c>
      <c r="J9" s="4">
        <f t="shared" si="0"/>
        <v>1242.9470118209128</v>
      </c>
      <c r="K9" s="4">
        <f t="shared" si="0"/>
        <v>910.5200608621908</v>
      </c>
      <c r="L9" s="4">
        <f t="shared" si="0"/>
        <v>678.22496822784217</v>
      </c>
    </row>
    <row r="10" spans="1:14" x14ac:dyDescent="0.2">
      <c r="A10" t="s">
        <v>15</v>
      </c>
      <c r="B10" s="3">
        <f>$B$3/B9*1000</f>
        <v>9.6890781670540826E-2</v>
      </c>
      <c r="C10" s="3">
        <f t="shared" ref="C10:L10" si="1">$B$3/C9*1000</f>
        <v>0.16235254890895415</v>
      </c>
      <c r="D10" s="3">
        <f t="shared" si="1"/>
        <v>0.26262351069969603</v>
      </c>
      <c r="E10" s="3">
        <f t="shared" si="1"/>
        <v>0.41154847685428508</v>
      </c>
      <c r="F10" s="3">
        <f t="shared" si="1"/>
        <v>0.6266755436929371</v>
      </c>
      <c r="G10" s="3">
        <f t="shared" si="1"/>
        <v>0.92972957475080431</v>
      </c>
      <c r="H10" s="3">
        <f t="shared" si="1"/>
        <v>1.3470428859900418</v>
      </c>
      <c r="I10" s="3">
        <f t="shared" si="1"/>
        <v>1.9099280164282859</v>
      </c>
      <c r="J10" s="3">
        <f t="shared" si="1"/>
        <v>2.654980436507516</v>
      </c>
      <c r="K10" s="3">
        <f t="shared" si="1"/>
        <v>3.6243023540581407</v>
      </c>
      <c r="L10" s="3">
        <f t="shared" si="1"/>
        <v>4.8656421609229241</v>
      </c>
    </row>
    <row r="11" spans="1:14" x14ac:dyDescent="0.2">
      <c r="A11" t="s">
        <v>9</v>
      </c>
      <c r="B11" s="1">
        <f t="shared" ref="B11:L11" si="2">$B$3*$B$1/($B$1+B9)</f>
        <v>0.42243820014174899</v>
      </c>
      <c r="C11" s="1">
        <f t="shared" si="2"/>
        <v>0.65150088257203809</v>
      </c>
      <c r="D11" s="1">
        <f t="shared" si="2"/>
        <v>0.93934045172092373</v>
      </c>
      <c r="E11" s="1">
        <f t="shared" si="2"/>
        <v>1.2674274687096811</v>
      </c>
      <c r="F11" s="1">
        <f t="shared" si="2"/>
        <v>1.6072655645969314</v>
      </c>
      <c r="G11" s="1">
        <f t="shared" si="2"/>
        <v>1.9299556637855155</v>
      </c>
      <c r="H11" s="1">
        <f t="shared" si="2"/>
        <v>2.2148213945983386</v>
      </c>
      <c r="I11" s="1">
        <f t="shared" si="2"/>
        <v>2.452505445258732</v>
      </c>
      <c r="J11" s="1">
        <f t="shared" si="2"/>
        <v>2.6429825479469127</v>
      </c>
      <c r="K11" s="1">
        <f t="shared" si="2"/>
        <v>2.791632517967138</v>
      </c>
      <c r="L11" s="1">
        <f t="shared" si="2"/>
        <v>2.9058376679903901</v>
      </c>
    </row>
    <row r="12" spans="1:14" x14ac:dyDescent="0.2">
      <c r="A12" t="s">
        <v>16</v>
      </c>
      <c r="B12" s="1">
        <f>B11*B10</f>
        <v>4.093036741923043E-2</v>
      </c>
      <c r="C12" s="1">
        <f t="shared" ref="C12:L12" si="3">C11*C10</f>
        <v>0.10577282890200361</v>
      </c>
      <c r="D12" s="1">
        <f t="shared" si="3"/>
        <v>0.24669288717318733</v>
      </c>
      <c r="E12" s="1">
        <f t="shared" si="3"/>
        <v>0.52160784427075135</v>
      </c>
      <c r="F12" s="1">
        <f t="shared" si="3"/>
        <v>1.0072340215527176</v>
      </c>
      <c r="G12" s="1">
        <f t="shared" si="3"/>
        <v>1.7943368585792137</v>
      </c>
      <c r="H12" s="1">
        <f t="shared" si="3"/>
        <v>2.9834594033322355</v>
      </c>
      <c r="I12" s="1">
        <f t="shared" si="3"/>
        <v>4.6841088603425804</v>
      </c>
      <c r="J12" s="1">
        <f t="shared" si="3"/>
        <v>7.0170669588298411</v>
      </c>
      <c r="K12" s="1">
        <f t="shared" si="3"/>
        <v>10.117720306533553</v>
      </c>
      <c r="L12" s="1">
        <f t="shared" si="3"/>
        <v>14.138766270171992</v>
      </c>
    </row>
    <row r="13" spans="1:14" x14ac:dyDescent="0.2">
      <c r="A13" t="s">
        <v>10</v>
      </c>
      <c r="B13" s="2">
        <f>B11/$B$6</f>
        <v>524.33541447897085</v>
      </c>
      <c r="C13" s="2">
        <f t="shared" ref="C13:L13" si="4">C11/$B$6</f>
        <v>808.65079242880859</v>
      </c>
      <c r="D13" s="2">
        <f t="shared" si="4"/>
        <v>1165.92075462088</v>
      </c>
      <c r="E13" s="2">
        <f t="shared" si="4"/>
        <v>1573.1463369196529</v>
      </c>
      <c r="F13" s="2">
        <f t="shared" si="4"/>
        <v>1994.9575007845549</v>
      </c>
      <c r="G13" s="2">
        <f t="shared" si="4"/>
        <v>2395.4843632925672</v>
      </c>
      <c r="H13" s="2">
        <f t="shared" si="4"/>
        <v>2749.0631612953925</v>
      </c>
      <c r="I13" s="2">
        <f t="shared" si="4"/>
        <v>3044.0794859938687</v>
      </c>
      <c r="J13" s="2">
        <f t="shared" si="4"/>
        <v>3280.5019746638045</v>
      </c>
      <c r="K13" s="2">
        <f t="shared" si="4"/>
        <v>3465.0081192707266</v>
      </c>
      <c r="L13" s="2">
        <f t="shared" si="4"/>
        <v>3606.7609357844358</v>
      </c>
    </row>
    <row r="14" spans="1:14" x14ac:dyDescent="0.2">
      <c r="A14" t="s">
        <v>12</v>
      </c>
      <c r="C14" s="2">
        <f>C13-B13</f>
        <v>284.31537794983774</v>
      </c>
      <c r="D14" s="2">
        <f t="shared" ref="D14:L14" si="5">D13-C13</f>
        <v>357.26996219207138</v>
      </c>
      <c r="E14" s="2">
        <f t="shared" si="5"/>
        <v>407.22558229877291</v>
      </c>
      <c r="F14" s="2">
        <f t="shared" si="5"/>
        <v>421.81116386490203</v>
      </c>
      <c r="G14" s="2">
        <f t="shared" si="5"/>
        <v>400.5268625080123</v>
      </c>
      <c r="H14" s="2">
        <f t="shared" si="5"/>
        <v>353.57879800282535</v>
      </c>
      <c r="I14" s="2">
        <f t="shared" si="5"/>
        <v>295.01632469847618</v>
      </c>
      <c r="J14" s="2">
        <f t="shared" si="5"/>
        <v>236.42248866993577</v>
      </c>
      <c r="K14" s="2">
        <f t="shared" si="5"/>
        <v>184.50614460692213</v>
      </c>
      <c r="L14" s="2">
        <f t="shared" si="5"/>
        <v>141.75281651370915</v>
      </c>
      <c r="M14" s="2">
        <f>AVERAGE(C14:L14)</f>
        <v>308.24255213054653</v>
      </c>
      <c r="N14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4340-7F8E-9146-9321-1F53E7A60631}">
  <dimension ref="A1:E31"/>
  <sheetViews>
    <sheetView workbookViewId="0">
      <selection activeCell="F9" sqref="F9"/>
    </sheetView>
  </sheetViews>
  <sheetFormatPr baseColWidth="10" defaultRowHeight="16" x14ac:dyDescent="0.2"/>
  <sheetData>
    <row r="1" spans="1:5" x14ac:dyDescent="0.2">
      <c r="A1" t="s">
        <v>0</v>
      </c>
      <c r="B1">
        <v>4999</v>
      </c>
      <c r="C1" t="s">
        <v>7</v>
      </c>
    </row>
    <row r="2" spans="1:5" x14ac:dyDescent="0.2">
      <c r="A2" t="s">
        <v>1</v>
      </c>
      <c r="B2">
        <v>100000</v>
      </c>
      <c r="C2" t="s">
        <v>7</v>
      </c>
    </row>
    <row r="3" spans="1:5" x14ac:dyDescent="0.2">
      <c r="A3" t="s">
        <v>2</v>
      </c>
      <c r="B3">
        <v>3.3</v>
      </c>
      <c r="C3" t="s">
        <v>6</v>
      </c>
    </row>
    <row r="4" spans="1:5" x14ac:dyDescent="0.2">
      <c r="A4" t="s">
        <v>3</v>
      </c>
      <c r="B4">
        <v>3970</v>
      </c>
    </row>
    <row r="5" spans="1:5" x14ac:dyDescent="0.2">
      <c r="A5" t="s">
        <v>4</v>
      </c>
      <c r="B5">
        <v>25</v>
      </c>
      <c r="C5" t="s">
        <v>5</v>
      </c>
    </row>
    <row r="6" spans="1:5" x14ac:dyDescent="0.2">
      <c r="A6" t="s">
        <v>11</v>
      </c>
      <c r="B6">
        <f>3.3/4096</f>
        <v>8.0566406249999996E-4</v>
      </c>
      <c r="C6" t="s">
        <v>6</v>
      </c>
    </row>
    <row r="7" spans="1:5" x14ac:dyDescent="0.2">
      <c r="A7" t="s">
        <v>20</v>
      </c>
      <c r="B7">
        <v>273.14</v>
      </c>
    </row>
    <row r="10" spans="1:5" x14ac:dyDescent="0.2">
      <c r="A10" t="s">
        <v>18</v>
      </c>
      <c r="B10" t="s">
        <v>19</v>
      </c>
      <c r="C10" t="s">
        <v>17</v>
      </c>
      <c r="D10" t="s">
        <v>9</v>
      </c>
      <c r="E10" t="s">
        <v>10</v>
      </c>
    </row>
    <row r="11" spans="1:5" x14ac:dyDescent="0.2">
      <c r="A11">
        <v>0</v>
      </c>
      <c r="B11" s="4">
        <f>A11+$B$7</f>
        <v>273.14</v>
      </c>
      <c r="C11" s="4">
        <f>($B$2*EXP($B$4*(1/(B11)-1/($B$5+$B$7))))</f>
        <v>338305.45075929619</v>
      </c>
      <c r="D11" s="1">
        <f>$B$3*$B$1/($B$1+C11)</f>
        <v>4.8052683160715745E-2</v>
      </c>
      <c r="E11" s="2">
        <f>D11/$B$6</f>
        <v>59.643572795845969</v>
      </c>
    </row>
    <row r="12" spans="1:5" x14ac:dyDescent="0.2">
      <c r="A12">
        <v>5</v>
      </c>
      <c r="B12" s="4">
        <f>A12+$B$7</f>
        <v>278.14</v>
      </c>
      <c r="C12" s="4">
        <f>($B$2*EXP($B$4*(1/(B12)-1/($B$5+$B$7))))</f>
        <v>260516.40279676169</v>
      </c>
      <c r="D12" s="1">
        <f>$B$3*$B$1/($B$1+C12)</f>
        <v>6.2130858798528421E-2</v>
      </c>
      <c r="E12" s="2">
        <f>D12/$B$6</f>
        <v>77.117575042052252</v>
      </c>
    </row>
    <row r="13" spans="1:5" x14ac:dyDescent="0.2">
      <c r="A13">
        <v>10</v>
      </c>
      <c r="B13" s="4">
        <f>A13+$B$7</f>
        <v>283.14</v>
      </c>
      <c r="C13" s="4">
        <f>($B$2*EXP($B$4*(1/(B13)-1/($B$5+$B$7))))</f>
        <v>202473.80623525922</v>
      </c>
      <c r="D13" s="1">
        <f>$B$3*$B$1/($B$1+C13)</f>
        <v>7.9512589140448273E-2</v>
      </c>
      <c r="E13" s="2">
        <f>D13/$B$6</f>
        <v>98.69198943008368</v>
      </c>
    </row>
    <row r="14" spans="1:5" x14ac:dyDescent="0.2">
      <c r="A14">
        <v>15</v>
      </c>
      <c r="B14" s="4">
        <f>A14+$B$7</f>
        <v>288.14</v>
      </c>
      <c r="C14" s="4">
        <f>($B$2*EXP($B$4*(1/(B14)-1/($B$5+$B$7))))</f>
        <v>158745.59581555054</v>
      </c>
      <c r="D14" s="1">
        <f>$B$3*$B$1/($B$1+C14)</f>
        <v>0.10074653100968685</v>
      </c>
      <c r="E14" s="2">
        <f>D14/$B$6</f>
        <v>125.04781545929617</v>
      </c>
    </row>
    <row r="15" spans="1:5" x14ac:dyDescent="0.2">
      <c r="A15">
        <v>20</v>
      </c>
      <c r="B15" s="4">
        <f>A15+$B$7</f>
        <v>293.14</v>
      </c>
      <c r="C15" s="4">
        <f>($B$2*EXP($B$4*(1/(B15)-1/($B$5+$B$7))))</f>
        <v>125498.68890868945</v>
      </c>
      <c r="D15" s="1">
        <f>$B$3*$B$1/($B$1+C15)</f>
        <v>0.12641373297838943</v>
      </c>
      <c r="E15" s="2">
        <f>D15/$B$6</f>
        <v>156.90625766044943</v>
      </c>
    </row>
    <row r="16" spans="1:5" x14ac:dyDescent="0.2">
      <c r="A16">
        <v>25</v>
      </c>
      <c r="B16" s="4">
        <f>A16+$B$7</f>
        <v>298.14</v>
      </c>
      <c r="C16" s="4">
        <f>($B$2*EXP($B$4*(1/(B16)-1/($B$5+$B$7))))</f>
        <v>100000</v>
      </c>
      <c r="D16" s="1">
        <f>$B$3*$B$1/($B$1+C16)</f>
        <v>0.15711292488499892</v>
      </c>
      <c r="E16" s="2">
        <f>D16/$B$6</f>
        <v>195.01046676635019</v>
      </c>
    </row>
    <row r="17" spans="1:5" x14ac:dyDescent="0.2">
      <c r="A17">
        <v>30</v>
      </c>
      <c r="B17" s="4">
        <f>A17+$B$7</f>
        <v>303.14</v>
      </c>
      <c r="C17" s="4">
        <f>($B$2*EXP($B$4*(1/(B17)-1/($B$5+$B$7))))</f>
        <v>80281.361027512889</v>
      </c>
      <c r="D17" s="1">
        <f>$B$3*$B$1/($B$1+C17)</f>
        <v>0.1934407852081898</v>
      </c>
      <c r="E17" s="2">
        <f>D17/$B$6</f>
        <v>240.10104733719561</v>
      </c>
    </row>
    <row r="18" spans="1:5" x14ac:dyDescent="0.2">
      <c r="A18">
        <v>35</v>
      </c>
      <c r="B18" s="4">
        <f>A18+$B$7</f>
        <v>308.14</v>
      </c>
      <c r="C18" s="4">
        <f>($B$2*EXP($B$4*(1/(B18)-1/($B$5+$B$7))))</f>
        <v>64911.997038091075</v>
      </c>
      <c r="D18" s="1">
        <f>$B$3*$B$1/($B$1+C18)</f>
        <v>0.23596716824123906</v>
      </c>
      <c r="E18" s="2">
        <f>D18/$B$6</f>
        <v>292.88530942912581</v>
      </c>
    </row>
    <row r="19" spans="1:5" x14ac:dyDescent="0.2">
      <c r="A19">
        <v>40</v>
      </c>
      <c r="B19" s="4">
        <f>A19+$B$7</f>
        <v>313.14</v>
      </c>
      <c r="C19" s="4">
        <f>($B$2*EXP($B$4*(1/(B19)-1/($B$5+$B$7))))</f>
        <v>52842.389847944483</v>
      </c>
      <c r="D19" s="1">
        <f>$B$3*$B$1/($B$1+C19)</f>
        <v>0.28520580233924386</v>
      </c>
      <c r="E19" s="2">
        <f>D19/$B$6</f>
        <v>354.00089890349784</v>
      </c>
    </row>
    <row r="20" spans="1:5" x14ac:dyDescent="0.2">
      <c r="A20">
        <v>45</v>
      </c>
      <c r="B20" s="4">
        <f>A20+$B$7</f>
        <v>318.14</v>
      </c>
      <c r="C20" s="4">
        <f>($B$2*EXP($B$4*(1/(B20)-1/($B$5+$B$7))))</f>
        <v>43296.043160611538</v>
      </c>
      <c r="D20" s="1">
        <f>$B$3*$B$1/($B$1+C20)</f>
        <v>0.34158163903359706</v>
      </c>
      <c r="E20" s="2">
        <f>D20/$B$6</f>
        <v>423.97527075200412</v>
      </c>
    </row>
    <row r="21" spans="1:5" x14ac:dyDescent="0.2">
      <c r="A21">
        <v>50</v>
      </c>
      <c r="B21" s="4">
        <f>A21+$B$7</f>
        <v>323.14</v>
      </c>
      <c r="C21" s="4">
        <f>($B$2*EXP($B$4*(1/(B21)-1/($B$5+$B$7))))</f>
        <v>35693.725791286888</v>
      </c>
      <c r="D21" s="1">
        <f>$B$3*$B$1/($B$1+C21)</f>
        <v>0.40539677987195116</v>
      </c>
      <c r="E21" s="2">
        <f>D21/$B$6</f>
        <v>503.18339707742791</v>
      </c>
    </row>
    <row r="22" spans="1:5" x14ac:dyDescent="0.2">
      <c r="A22">
        <v>55</v>
      </c>
      <c r="B22" s="4">
        <f>A22+$B$7</f>
        <v>328.14</v>
      </c>
      <c r="C22" s="4">
        <f>($B$2*EXP($B$4*(1/(B22)-1/($B$5+$B$7))))</f>
        <v>29599.955800902811</v>
      </c>
      <c r="D22" s="1">
        <f>$B$3*$B$1/($B$1+C22)</f>
        <v>0.47679762634829409</v>
      </c>
      <c r="E22" s="2">
        <f>D22/$B$6</f>
        <v>591.8069931886705</v>
      </c>
    </row>
    <row r="23" spans="1:5" x14ac:dyDescent="0.2">
      <c r="A23">
        <v>60</v>
      </c>
      <c r="B23" s="4">
        <f>A23+$B$7</f>
        <v>333.14</v>
      </c>
      <c r="C23" s="4">
        <f>($B$2*EXP($B$4*(1/(B23)-1/($B$5+$B$7))))</f>
        <v>24684.860782995664</v>
      </c>
      <c r="D23" s="1">
        <f>$B$3*$B$1/($B$1+C23)</f>
        <v>0.55574644149557861</v>
      </c>
      <c r="E23" s="2">
        <f>D23/$B$6</f>
        <v>689.79921950481514</v>
      </c>
    </row>
    <row r="24" spans="1:5" x14ac:dyDescent="0.2">
      <c r="A24">
        <v>65</v>
      </c>
      <c r="B24" s="4">
        <f>A24+$B$7</f>
        <v>338.14</v>
      </c>
      <c r="C24" s="4">
        <f>($B$2*EXP($B$4*(1/(B24)-1/($B$5+$B$7))))</f>
        <v>20696.765702614717</v>
      </c>
      <c r="D24" s="1">
        <f>$B$3*$B$1/($B$1+C24)</f>
        <v>0.64200071680764703</v>
      </c>
      <c r="E24" s="2">
        <f>D24/$B$6</f>
        <v>796.85907152852189</v>
      </c>
    </row>
    <row r="25" spans="1:5" x14ac:dyDescent="0.2">
      <c r="A25">
        <v>70</v>
      </c>
      <c r="B25" s="4">
        <f>A25+$B$7</f>
        <v>343.14</v>
      </c>
      <c r="C25" s="4">
        <f>($B$2*EXP($B$4*(1/(B25)-1/($B$5+$B$7))))</f>
        <v>17442.33072160455</v>
      </c>
      <c r="D25" s="1">
        <f>$B$3*$B$1/($B$1+C25)</f>
        <v>0.73510346621817846</v>
      </c>
      <c r="E25" s="2">
        <f>D25/$B$6</f>
        <v>912.41933261504823</v>
      </c>
    </row>
    <row r="26" spans="1:5" x14ac:dyDescent="0.2">
      <c r="A26">
        <v>75</v>
      </c>
      <c r="B26" s="4">
        <f>A26+$B$7</f>
        <v>348.14</v>
      </c>
      <c r="C26" s="4">
        <f>($B$2*EXP($B$4*(1/(B26)-1/($B$5+$B$7))))</f>
        <v>14772.047343267634</v>
      </c>
      <c r="D26" s="1">
        <f>$B$3*$B$1/($B$1+C26)</f>
        <v>0.83438675319430655</v>
      </c>
      <c r="E26" s="2">
        <f>D26/$B$6</f>
        <v>1035.6509518435998</v>
      </c>
    </row>
    <row r="27" spans="1:5" x14ac:dyDescent="0.2">
      <c r="A27">
        <v>80</v>
      </c>
      <c r="B27" s="4">
        <f>A27+$B$7</f>
        <v>353.14</v>
      </c>
      <c r="C27" s="4">
        <f>($B$2*EXP($B$4*(1/(B27)-1/($B$5+$B$7))))</f>
        <v>12569.568106132947</v>
      </c>
      <c r="D27" s="1">
        <f>$B$3*$B$1/($B$1+C27)</f>
        <v>0.93898944412215535</v>
      </c>
      <c r="E27" s="2">
        <f>D27/$B$6</f>
        <v>1165.485079734651</v>
      </c>
    </row>
    <row r="28" spans="1:5" x14ac:dyDescent="0.2">
      <c r="A28">
        <v>85</v>
      </c>
      <c r="B28" s="4">
        <f>A28+$B$7</f>
        <v>358.14</v>
      </c>
      <c r="C28" s="4">
        <f>($B$2*EXP($B$4*(1/(B28)-1/($B$5+$B$7))))</f>
        <v>10743.800193319248</v>
      </c>
      <c r="D28" s="1">
        <f>$B$3*$B$1/($B$1+C28)</f>
        <v>1.0478885457112441</v>
      </c>
      <c r="E28" s="2">
        <f>D28/$B$6</f>
        <v>1300.6519646161382</v>
      </c>
    </row>
    <row r="29" spans="1:5" x14ac:dyDescent="0.2">
      <c r="A29">
        <v>90</v>
      </c>
      <c r="B29" s="4">
        <f>A29+$B$7</f>
        <v>363.14</v>
      </c>
      <c r="C29" s="4">
        <f>($B$2*EXP($B$4*(1/(B29)-1/($B$5+$B$7))))</f>
        <v>9223.006602883559</v>
      </c>
      <c r="D29" s="1">
        <f>$B$3*$B$1/($B$1+C29)</f>
        <v>1.1599418043200205</v>
      </c>
      <c r="E29" s="2">
        <f>D29/$B$6</f>
        <v>1439.7338274226679</v>
      </c>
    </row>
    <row r="30" spans="1:5" x14ac:dyDescent="0.2">
      <c r="A30">
        <v>95</v>
      </c>
      <c r="B30" s="4">
        <f>A30+$B$7</f>
        <v>368.14</v>
      </c>
      <c r="C30" s="4">
        <f>($B$2*EXP($B$4*(1/(B30)-1/($B$5+$B$7))))</f>
        <v>7950.3759364883836</v>
      </c>
      <c r="D30" s="1">
        <f>$B$3*$B$1/($B$1+C30)</f>
        <v>1.2739378392371841</v>
      </c>
      <c r="E30" s="2">
        <f>D30/$B$6</f>
        <v>1581.2270877319716</v>
      </c>
    </row>
    <row r="31" spans="1:5" x14ac:dyDescent="0.2">
      <c r="A31">
        <v>100</v>
      </c>
      <c r="B31" s="4">
        <f>A31+$B$7</f>
        <v>373.14</v>
      </c>
      <c r="C31" s="4">
        <f>($B$2*EXP($B$4*(1/(B31)-1/($B$5+$B$7))))</f>
        <v>6880.6739406868965</v>
      </c>
      <c r="D31" s="1">
        <f>$B$3*$B$1/($B$1+C31)</f>
        <v>1.3886492240750963</v>
      </c>
      <c r="E31" s="2">
        <f>D31/$B$6</f>
        <v>1723.6082490338165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4D97-E3AB-554E-B1C9-4CD8CB263F9F}">
  <dimension ref="A1:E31"/>
  <sheetViews>
    <sheetView tabSelected="1" zoomScale="140" zoomScaleNormal="140" workbookViewId="0">
      <selection activeCell="E11" activeCellId="1" sqref="A11:A31 E11:E31"/>
    </sheetView>
  </sheetViews>
  <sheetFormatPr baseColWidth="10" defaultRowHeight="16" x14ac:dyDescent="0.2"/>
  <sheetData>
    <row r="1" spans="1:5" x14ac:dyDescent="0.2">
      <c r="A1" t="s">
        <v>0</v>
      </c>
      <c r="B1">
        <v>4999</v>
      </c>
      <c r="C1" t="s">
        <v>7</v>
      </c>
    </row>
    <row r="2" spans="1:5" x14ac:dyDescent="0.2">
      <c r="A2" t="s">
        <v>1</v>
      </c>
      <c r="B2">
        <v>10000</v>
      </c>
      <c r="C2" t="s">
        <v>7</v>
      </c>
    </row>
    <row r="3" spans="1:5" x14ac:dyDescent="0.2">
      <c r="A3" t="s">
        <v>2</v>
      </c>
      <c r="B3">
        <v>3.3</v>
      </c>
      <c r="C3" t="s">
        <v>6</v>
      </c>
    </row>
    <row r="4" spans="1:5" x14ac:dyDescent="0.2">
      <c r="A4" t="s">
        <v>3</v>
      </c>
      <c r="B4">
        <v>3988</v>
      </c>
    </row>
    <row r="5" spans="1:5" x14ac:dyDescent="0.2">
      <c r="A5" t="s">
        <v>4</v>
      </c>
      <c r="B5">
        <v>25</v>
      </c>
      <c r="C5" t="s">
        <v>5</v>
      </c>
    </row>
    <row r="6" spans="1:5" x14ac:dyDescent="0.2">
      <c r="A6" t="s">
        <v>11</v>
      </c>
      <c r="B6">
        <f>3.3/4096</f>
        <v>8.0566406249999996E-4</v>
      </c>
      <c r="C6" t="s">
        <v>6</v>
      </c>
    </row>
    <row r="7" spans="1:5" x14ac:dyDescent="0.2">
      <c r="A7" t="s">
        <v>20</v>
      </c>
      <c r="B7">
        <v>273.14</v>
      </c>
    </row>
    <row r="10" spans="1:5" x14ac:dyDescent="0.2">
      <c r="A10" t="s">
        <v>18</v>
      </c>
      <c r="B10" t="s">
        <v>19</v>
      </c>
      <c r="C10" t="s">
        <v>17</v>
      </c>
      <c r="D10" t="s">
        <v>9</v>
      </c>
      <c r="E10" t="s">
        <v>10</v>
      </c>
    </row>
    <row r="11" spans="1:5" x14ac:dyDescent="0.2">
      <c r="A11">
        <v>0</v>
      </c>
      <c r="B11" s="4">
        <f>A11+$B$7</f>
        <v>273.14</v>
      </c>
      <c r="C11" s="4">
        <f>($B$2*EXP($B$4*(1/(B11)-1/($B$5+$B$7))))</f>
        <v>34018.008460664809</v>
      </c>
      <c r="D11" s="1">
        <f>$B$3*$B$1/($B$1+C11)</f>
        <v>0.42280791508224497</v>
      </c>
      <c r="E11" s="2">
        <f>D11/$B$6</f>
        <v>524.79430914450768</v>
      </c>
    </row>
    <row r="12" spans="1:5" x14ac:dyDescent="0.2">
      <c r="A12">
        <v>5</v>
      </c>
      <c r="B12" s="4">
        <f>A12+$B$7</f>
        <v>278.14</v>
      </c>
      <c r="C12" s="4">
        <f>($B$2*EXP($B$4*(1/(B12)-1/($B$5+$B$7))))</f>
        <v>26164.983857186853</v>
      </c>
      <c r="D12" s="1">
        <f>$B$3*$B$1/($B$1+C12)</f>
        <v>0.52935144863372885</v>
      </c>
      <c r="E12" s="2">
        <f>D12/$B$6</f>
        <v>657.03743442537984</v>
      </c>
    </row>
    <row r="13" spans="1:5" x14ac:dyDescent="0.2">
      <c r="A13">
        <v>10</v>
      </c>
      <c r="B13" s="4">
        <f>A13+$B$7</f>
        <v>283.14</v>
      </c>
      <c r="C13" s="4">
        <f>($B$2*EXP($B$4*(1/(B13)-1/($B$5+$B$7))))</f>
        <v>20312.244942167898</v>
      </c>
      <c r="D13" s="1">
        <f>$B$3*$B$1/($B$1+C13)</f>
        <v>0.65175379708474601</v>
      </c>
      <c r="E13" s="2">
        <f>D13/$B$6</f>
        <v>808.96471298761207</v>
      </c>
    </row>
    <row r="14" spans="1:5" x14ac:dyDescent="0.2">
      <c r="A14">
        <v>15</v>
      </c>
      <c r="B14" s="4">
        <f>A14+$B$7</f>
        <v>288.14</v>
      </c>
      <c r="C14" s="4">
        <f>($B$2*EXP($B$4*(1/(B14)-1/($B$5+$B$7))))</f>
        <v>15907.856608842067</v>
      </c>
      <c r="D14" s="1">
        <f>$B$3*$B$1/($B$1+C14)</f>
        <v>0.78905692561277274</v>
      </c>
      <c r="E14" s="2">
        <f>D14/$B$6</f>
        <v>979.38702039694465</v>
      </c>
    </row>
    <row r="15" spans="1:5" x14ac:dyDescent="0.2">
      <c r="A15">
        <v>20</v>
      </c>
      <c r="B15" s="4">
        <f>A15+$B$7</f>
        <v>293.14</v>
      </c>
      <c r="C15" s="4">
        <f>($B$2*EXP($B$4*(1/(B15)-1/($B$5+$B$7))))</f>
        <v>12562.799232575671</v>
      </c>
      <c r="D15" s="1">
        <f>$B$3*$B$1/($B$1+C15)</f>
        <v>0.93935136038908817</v>
      </c>
      <c r="E15" s="2">
        <f>D15/$B$6</f>
        <v>1165.9342945920318</v>
      </c>
    </row>
    <row r="16" spans="1:5" x14ac:dyDescent="0.2">
      <c r="A16">
        <v>25</v>
      </c>
      <c r="B16" s="4">
        <f>A16+$B$7</f>
        <v>298.14</v>
      </c>
      <c r="C16" s="4">
        <f>($B$2*EXP($B$4*(1/(B16)-1/($B$5+$B$7))))</f>
        <v>10000</v>
      </c>
      <c r="D16" s="1">
        <f>$B$3*$B$1/($B$1+C16)</f>
        <v>1.0998533235549037</v>
      </c>
      <c r="E16" s="2">
        <f>D16/$B$6</f>
        <v>1365.1512767517836</v>
      </c>
    </row>
    <row r="17" spans="1:5" x14ac:dyDescent="0.2">
      <c r="A17">
        <v>30</v>
      </c>
      <c r="B17" s="4">
        <f>A17+$B$7</f>
        <v>303.14</v>
      </c>
      <c r="C17" s="4">
        <f>($B$2*EXP($B$4*(1/(B17)-1/($B$5+$B$7))))</f>
        <v>8020.1455371399406</v>
      </c>
      <c r="D17" s="1">
        <f>$B$3*$B$1/($B$1+C17)</f>
        <v>1.2671108063843037</v>
      </c>
      <c r="E17" s="2">
        <f>D17/$B$6</f>
        <v>1572.7532918030631</v>
      </c>
    </row>
    <row r="18" spans="1:5" x14ac:dyDescent="0.2">
      <c r="A18">
        <v>35</v>
      </c>
      <c r="B18" s="4">
        <f>A18+$B$7</f>
        <v>308.14</v>
      </c>
      <c r="C18" s="4">
        <f>($B$2*EXP($B$4*(1/(B18)-1/($B$5+$B$7))))</f>
        <v>6478.4938527541181</v>
      </c>
      <c r="D18" s="1">
        <f>$B$3*$B$1/($B$1+C18)</f>
        <v>1.4373085458931858</v>
      </c>
      <c r="E18" s="2">
        <f>D18/$B$6</f>
        <v>1784.0047890843907</v>
      </c>
    </row>
    <row r="19" spans="1:5" x14ac:dyDescent="0.2">
      <c r="A19">
        <v>40</v>
      </c>
      <c r="B19" s="4">
        <f>A19+$B$7</f>
        <v>313.14</v>
      </c>
      <c r="C19" s="4">
        <f>($B$2*EXP($B$4*(1/(B19)-1/($B$5+$B$7))))</f>
        <v>5268.9788077423946</v>
      </c>
      <c r="D19" s="1">
        <f>$B$3*$B$1/($B$1+C19)</f>
        <v>1.6066160934770284</v>
      </c>
      <c r="E19" s="2">
        <f>D19/$B$6</f>
        <v>1994.1513693581542</v>
      </c>
    </row>
    <row r="20" spans="1:5" x14ac:dyDescent="0.2">
      <c r="A20">
        <v>45</v>
      </c>
      <c r="B20" s="4">
        <f>A20+$B$7</f>
        <v>318.14</v>
      </c>
      <c r="C20" s="4">
        <f>($B$2*EXP($B$4*(1/(B20)-1/($B$5+$B$7))))</f>
        <v>4313.2026383977691</v>
      </c>
      <c r="D20" s="1">
        <f>$B$3*$B$1/($B$1+C20)</f>
        <v>1.7715142851357</v>
      </c>
      <c r="E20" s="2">
        <f>D20/$B$6</f>
        <v>2198.825003610857</v>
      </c>
    </row>
    <row r="21" spans="1:5" x14ac:dyDescent="0.2">
      <c r="A21">
        <v>50</v>
      </c>
      <c r="B21" s="4">
        <f>A21+$B$7</f>
        <v>323.14</v>
      </c>
      <c r="C21" s="4">
        <f>($B$2*EXP($B$4*(1/(B21)-1/($B$5+$B$7))))</f>
        <v>3552.7392359321825</v>
      </c>
      <c r="D21" s="1">
        <f>$B$3*$B$1/($B$1+C21)</f>
        <v>1.9290461910584413</v>
      </c>
      <c r="E21" s="2">
        <f>D21/$B$6</f>
        <v>2394.3555147198108</v>
      </c>
    </row>
    <row r="22" spans="1:5" x14ac:dyDescent="0.2">
      <c r="A22">
        <v>55</v>
      </c>
      <c r="B22" s="4">
        <f>A22+$B$7</f>
        <v>328.14</v>
      </c>
      <c r="C22" s="4">
        <f>($B$2*EXP($B$4*(1/(B22)-1/($B$5+$B$7))))</f>
        <v>2943.7023433320173</v>
      </c>
      <c r="D22" s="1">
        <f>$B$3*$B$1/($B$1+C22)</f>
        <v>2.0769631401142905</v>
      </c>
      <c r="E22" s="2">
        <f>D22/$B$6</f>
        <v>2577.9518248206468</v>
      </c>
    </row>
    <row r="23" spans="1:5" x14ac:dyDescent="0.2">
      <c r="A23">
        <v>60</v>
      </c>
      <c r="B23" s="4">
        <f>A23+$B$7</f>
        <v>333.14</v>
      </c>
      <c r="C23" s="4">
        <f>($B$2*EXP($B$4*(1/(B23)-1/($B$5+$B$7))))</f>
        <v>2452.8780670274409</v>
      </c>
      <c r="D23" s="1">
        <f>$B$3*$B$1/($B$1+C23)</f>
        <v>2.2137640808957233</v>
      </c>
      <c r="E23" s="2">
        <f>D23/$B$6</f>
        <v>2747.7508107117828</v>
      </c>
    </row>
    <row r="24" spans="1:5" x14ac:dyDescent="0.2">
      <c r="A24">
        <v>65</v>
      </c>
      <c r="B24" s="4">
        <f>A24+$B$7</f>
        <v>338.14</v>
      </c>
      <c r="C24" s="4">
        <f>($B$2*EXP($B$4*(1/(B24)-1/($B$5+$B$7))))</f>
        <v>2054.9477400279379</v>
      </c>
      <c r="D24" s="1">
        <f>$B$3*$B$1/($B$1+C24)</f>
        <v>2.3386478902287227</v>
      </c>
      <c r="E24" s="2">
        <f>D24/$B$6</f>
        <v>2902.758108599045</v>
      </c>
    </row>
    <row r="25" spans="1:5" x14ac:dyDescent="0.2">
      <c r="A25">
        <v>70</v>
      </c>
      <c r="B25" s="4">
        <f>A25+$B$7</f>
        <v>343.14</v>
      </c>
      <c r="C25" s="4">
        <f>($B$2*EXP($B$4*(1/(B25)-1/($B$5+$B$7))))</f>
        <v>1730.4774641437436</v>
      </c>
      <c r="D25" s="1">
        <f>$B$3*$B$1/($B$1+C25)</f>
        <v>2.4514087591344711</v>
      </c>
      <c r="E25" s="2">
        <f>D25/$B$6</f>
        <v>3042.7182658832708</v>
      </c>
    </row>
    <row r="26" spans="1:5" x14ac:dyDescent="0.2">
      <c r="A26">
        <v>75</v>
      </c>
      <c r="B26" s="4">
        <f>A26+$B$7</f>
        <v>348.14</v>
      </c>
      <c r="C26" s="4">
        <f>($B$2*EXP($B$4*(1/(B26)-1/($B$5+$B$7))))</f>
        <v>1464.4512894709117</v>
      </c>
      <c r="D26" s="1">
        <f>$B$3*$B$1/($B$1+C26)</f>
        <v>2.5523051480055936</v>
      </c>
      <c r="E26" s="2">
        <f>D26/$B$6</f>
        <v>3167.95208673664</v>
      </c>
    </row>
    <row r="27" spans="1:5" x14ac:dyDescent="0.2">
      <c r="A27">
        <v>80</v>
      </c>
      <c r="B27" s="4">
        <f>A27+$B$7</f>
        <v>353.14</v>
      </c>
      <c r="C27" s="4">
        <f>($B$2*EXP($B$4*(1/(B27)-1/($B$5+$B$7))))</f>
        <v>1245.1929966670564</v>
      </c>
      <c r="D27" s="1">
        <f>$B$3*$B$1/($B$1+C27)</f>
        <v>2.6419266683149281</v>
      </c>
      <c r="E27" s="2">
        <f>D27/$B$6</f>
        <v>3279.191404066044</v>
      </c>
    </row>
    <row r="28" spans="1:5" x14ac:dyDescent="0.2">
      <c r="A28">
        <v>85</v>
      </c>
      <c r="B28" s="4">
        <f>A28+$B$7</f>
        <v>358.14</v>
      </c>
      <c r="C28" s="4">
        <f>($B$2*EXP($B$4*(1/(B28)-1/($B$5+$B$7))))</f>
        <v>1063.56781894814</v>
      </c>
      <c r="D28" s="1">
        <f>$B$3*$B$1/($B$1+C28)</f>
        <v>2.7210747149814463</v>
      </c>
      <c r="E28" s="2">
        <f>D28/$B$6</f>
        <v>3377.4309189587893</v>
      </c>
    </row>
    <row r="29" spans="1:5" x14ac:dyDescent="0.2">
      <c r="A29">
        <v>90</v>
      </c>
      <c r="B29" s="4">
        <f>A29+$B$7</f>
        <v>363.14</v>
      </c>
      <c r="C29" s="4">
        <f>($B$2*EXP($B$4*(1/(B29)-1/($B$5+$B$7))))</f>
        <v>912.38733124328382</v>
      </c>
      <c r="D29" s="1">
        <f>$B$3*$B$1/($B$1+C29)</f>
        <v>2.7906647078952971</v>
      </c>
      <c r="E29" s="2">
        <f>D29/$B$6</f>
        <v>3463.8068616785267</v>
      </c>
    </row>
    <row r="30" spans="1:5" x14ac:dyDescent="0.2">
      <c r="A30">
        <v>95</v>
      </c>
      <c r="B30" s="4">
        <f>A30+$B$7</f>
        <v>368.14</v>
      </c>
      <c r="C30" s="4">
        <f>($B$2*EXP($B$4*(1/(B30)-1/($B$5+$B$7))))</f>
        <v>785.96284686132401</v>
      </c>
      <c r="D30" s="1">
        <f>$B$3*$B$1/($B$1+C30)</f>
        <v>2.8516518492336407</v>
      </c>
      <c r="E30" s="2">
        <f>D30/$B$6</f>
        <v>3539.5048407457552</v>
      </c>
    </row>
    <row r="31" spans="1:5" x14ac:dyDescent="0.2">
      <c r="A31">
        <v>100</v>
      </c>
      <c r="B31" s="4">
        <f>A31+$B$7</f>
        <v>373.14</v>
      </c>
      <c r="C31" s="4">
        <f>($B$2*EXP($B$4*(1/(B31)-1/($B$5+$B$7))))</f>
        <v>679.76811700149551</v>
      </c>
      <c r="D31" s="1">
        <f>$B$3*$B$1/($B$1+C31)</f>
        <v>2.9049786256654886</v>
      </c>
      <c r="E31" s="2">
        <f>D31/$B$6</f>
        <v>3605.694682038134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Peltier</vt:lpstr>
      <vt:lpstr>LED</vt:lpstr>
      <vt:lpstr>B57861S0103F045‎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Linbeck III</dc:creator>
  <cp:lastModifiedBy>Leo Linbeck III</cp:lastModifiedBy>
  <dcterms:created xsi:type="dcterms:W3CDTF">2018-12-02T04:19:10Z</dcterms:created>
  <dcterms:modified xsi:type="dcterms:W3CDTF">2019-06-19T18:27:23Z</dcterms:modified>
</cp:coreProperties>
</file>